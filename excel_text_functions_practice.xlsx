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shaheenkhan/Desktop/my_excel_repo/"/>
    </mc:Choice>
  </mc:AlternateContent>
  <xr:revisionPtr revIDLastSave="0" documentId="8_{7DC3EF41-14E2-0642-8AE0-0EFC241F9D8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Dataset" sheetId="1" r:id="rId1"/>
    <sheet name="Ques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2" i="1"/>
  <c r="S2" i="1"/>
  <c r="T3" i="1"/>
  <c r="T4" i="1"/>
  <c r="T5" i="1"/>
  <c r="T6" i="1"/>
  <c r="T7" i="1"/>
  <c r="T8" i="1"/>
  <c r="T9" i="1"/>
  <c r="T10" i="1"/>
  <c r="T11" i="1"/>
  <c r="T2" i="1"/>
  <c r="S3" i="1"/>
  <c r="S4" i="1"/>
  <c r="S5" i="1"/>
  <c r="S6" i="1"/>
  <c r="S7" i="1"/>
  <c r="S8" i="1"/>
  <c r="S9" i="1"/>
  <c r="S10" i="1"/>
  <c r="S11" i="1"/>
  <c r="R2" i="1"/>
  <c r="R3" i="1"/>
  <c r="R4" i="1"/>
  <c r="R5" i="1"/>
  <c r="R6" i="1"/>
  <c r="R7" i="1"/>
  <c r="R8" i="1"/>
  <c r="R9" i="1"/>
  <c r="R10" i="1"/>
  <c r="R11" i="1"/>
  <c r="Q3" i="1"/>
  <c r="Q4" i="1"/>
  <c r="Q5" i="1"/>
  <c r="Q6" i="1"/>
  <c r="Q7" i="1"/>
  <c r="Q8" i="1"/>
  <c r="Q9" i="1"/>
  <c r="Q10" i="1"/>
  <c r="Q11" i="1"/>
  <c r="Q2" i="1"/>
  <c r="O3" i="1"/>
  <c r="P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2" i="1"/>
  <c r="P2" i="1" s="1"/>
  <c r="N3" i="1"/>
  <c r="N4" i="1"/>
  <c r="N5" i="1"/>
  <c r="N6" i="1"/>
  <c r="N7" i="1"/>
  <c r="N8" i="1"/>
  <c r="N9" i="1"/>
  <c r="N10" i="1"/>
  <c r="N11" i="1"/>
  <c r="N2" i="1"/>
  <c r="M3" i="1"/>
  <c r="M4" i="1"/>
  <c r="M5" i="1"/>
  <c r="M6" i="1"/>
  <c r="M7" i="1"/>
  <c r="M8" i="1"/>
  <c r="M9" i="1"/>
  <c r="M10" i="1"/>
  <c r="M11" i="1"/>
  <c r="M2" i="1"/>
  <c r="L3" i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<sst xmlns="http://schemas.openxmlformats.org/spreadsheetml/2006/main" count="94" uniqueCount="88">
  <si>
    <t>Employee_ID</t>
  </si>
  <si>
    <t>Full_Name</t>
  </si>
  <si>
    <t>Email</t>
  </si>
  <si>
    <t>Department_Code</t>
  </si>
  <si>
    <t>Phone_Number</t>
  </si>
  <si>
    <t>Location</t>
  </si>
  <si>
    <t>EMP001</t>
  </si>
  <si>
    <t>John Adewale</t>
  </si>
  <si>
    <t>john.adewale@datanest.com</t>
  </si>
  <si>
    <t>HR_001</t>
  </si>
  <si>
    <t>+234-803-123-4567</t>
  </si>
  <si>
    <t>Lagos, Nigeria</t>
  </si>
  <si>
    <t>EMP002</t>
  </si>
  <si>
    <t>Mary Johnson</t>
  </si>
  <si>
    <t>mary.johnson@datanest.com</t>
  </si>
  <si>
    <t>FIN_002</t>
  </si>
  <si>
    <t>+234-805-987-6543</t>
  </si>
  <si>
    <t>Abuja, Nigeria</t>
  </si>
  <si>
    <t>EMP003</t>
  </si>
  <si>
    <t>Peter Okorie</t>
  </si>
  <si>
    <t>peter.okorie@datanest.com</t>
  </si>
  <si>
    <t>IT_003</t>
  </si>
  <si>
    <t>+234-812-456-7890</t>
  </si>
  <si>
    <t>Enugu, Nigeria</t>
  </si>
  <si>
    <t>EMP004</t>
  </si>
  <si>
    <t>Blessing Danjuma</t>
  </si>
  <si>
    <t>blessing.danjuma@datanest.com</t>
  </si>
  <si>
    <t>MKT_004</t>
  </si>
  <si>
    <t>+234-809-321-1122</t>
  </si>
  <si>
    <t>Jos, Nigeria</t>
  </si>
  <si>
    <t>EMP005</t>
  </si>
  <si>
    <t>David Balogun</t>
  </si>
  <si>
    <t>david.balogun@datanest.com</t>
  </si>
  <si>
    <t>OPS_005</t>
  </si>
  <si>
    <t>+234-807-555-8899</t>
  </si>
  <si>
    <t>Ibadan, Nigeria</t>
  </si>
  <si>
    <t>EMP006</t>
  </si>
  <si>
    <t>Aisha Bello</t>
  </si>
  <si>
    <t>aisha.bello@datanest.com</t>
  </si>
  <si>
    <t>+234-806-444-2211</t>
  </si>
  <si>
    <t>Ilorin, Nigeria</t>
  </si>
  <si>
    <t>EMP007</t>
  </si>
  <si>
    <t>Samuel Obi</t>
  </si>
  <si>
    <t>samuel.obi@datanest.com</t>
  </si>
  <si>
    <t>+234-810-777-3344</t>
  </si>
  <si>
    <t>Asaba, Nigeria</t>
  </si>
  <si>
    <t>EMP008</t>
  </si>
  <si>
    <t>Ruth Martins</t>
  </si>
  <si>
    <t>ruth.martins@datanest.com</t>
  </si>
  <si>
    <t>+234-814-222-6655</t>
  </si>
  <si>
    <t>Benin, Nigeria</t>
  </si>
  <si>
    <t>EMP009</t>
  </si>
  <si>
    <t>Daniel Ahmed</t>
  </si>
  <si>
    <t>daniel.ahmed@datanest.com</t>
  </si>
  <si>
    <t>+234-815-999-1100</t>
  </si>
  <si>
    <t>Minna, Nigeria</t>
  </si>
  <si>
    <t>EMP010</t>
  </si>
  <si>
    <t>Esther Lawal</t>
  </si>
  <si>
    <t>esther.lawal@datanest.com</t>
  </si>
  <si>
    <t>+234-811-333-7788</t>
  </si>
  <si>
    <t>Abeokuta, Nigeria</t>
  </si>
  <si>
    <t>1. Extract First Name from Full_Name.</t>
  </si>
  <si>
    <t>2. Extract Last Name from Full_Name.</t>
  </si>
  <si>
    <t>3. Convert Full_Name to UPPERCASE, lowercase and Proper Case.</t>
  </si>
  <si>
    <t>4. Extract username from Email (example: john.adewale).</t>
  </si>
  <si>
    <t>5. Extract domain name from Email (example: datanest.com).</t>
  </si>
  <si>
    <t>6. Count number of characters in each Email.</t>
  </si>
  <si>
    <t>7. From Department_Code, extract Department Name and Department Number.</t>
  </si>
  <si>
    <t>8. Combine extracted values to show format: HR - 001.</t>
  </si>
  <si>
    <t>9. Remove +234- from all Phone Numbers.</t>
  </si>
  <si>
    <t>10. Replace all hyphens (-) in Phone Numbers with empty space.</t>
  </si>
  <si>
    <t>11. Split Location into City and Country.</t>
  </si>
  <si>
    <t>12. Extract only City name from Location.</t>
  </si>
  <si>
    <t>Reply this email with your submission</t>
  </si>
  <si>
    <t>First_name</t>
  </si>
  <si>
    <t>Last_name</t>
  </si>
  <si>
    <t>Upper_Case</t>
  </si>
  <si>
    <t>Lower_Case</t>
  </si>
  <si>
    <t>Proper_Case</t>
  </si>
  <si>
    <t>User_Name</t>
  </si>
  <si>
    <t>Count_Characters</t>
  </si>
  <si>
    <t>Department_Name</t>
  </si>
  <si>
    <t>Department_Number</t>
  </si>
  <si>
    <t>Combine</t>
  </si>
  <si>
    <t>Remove-+234</t>
  </si>
  <si>
    <t>Replace</t>
  </si>
  <si>
    <t>City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</si>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</sst>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  <scheme val="minor"/>
    </font>
    <font>
      <b/>
      <sz val="18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0" xfId="0" applyBorder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tabSelected="1" workbookViewId="0">
      <selection activeCell="G1" sqref="G1"/>
    </sheetView>
  </sheetViews>
  <sheetFormatPr baseColWidth="10" defaultColWidth="9" defaultRowHeight="15" x14ac:dyDescent="0.2"/>
  <cols>
    <col min="1" max="1" width="12" customWidth="1"/>
    <col min="2" max="2" width="16.1640625" customWidth="1"/>
    <col min="3" max="3" width="29.33203125" customWidth="1"/>
    <col min="4" max="4" width="16.5" customWidth="1"/>
    <col min="5" max="5" width="18.5" customWidth="1"/>
    <col min="6" max="6" width="16" customWidth="1"/>
    <col min="7" max="7" width="11.1640625" customWidth="1"/>
    <col min="8" max="8" width="13.33203125" customWidth="1"/>
    <col min="9" max="9" width="16" customWidth="1"/>
    <col min="10" max="10" width="14.33203125" customWidth="1"/>
    <col min="11" max="11" width="14.5" customWidth="1"/>
    <col min="12" max="12" width="15.6640625" customWidth="1"/>
    <col min="13" max="13" width="14.83203125" customWidth="1"/>
    <col min="14" max="14" width="18.83203125" customWidth="1"/>
    <col min="15" max="15" width="19.33203125" customWidth="1"/>
    <col min="17" max="17" width="11.5" bestFit="1" customWidth="1"/>
    <col min="18" max="18" width="18" customWidth="1"/>
  </cols>
  <sheetData>
    <row r="1" spans="1:21" ht="16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74</v>
      </c>
      <c r="H1" s="5" t="s">
        <v>75</v>
      </c>
      <c r="I1" s="5" t="s">
        <v>76</v>
      </c>
      <c r="J1" s="5" t="s">
        <v>77</v>
      </c>
      <c r="K1" s="5" t="s">
        <v>78</v>
      </c>
      <c r="L1" s="5" t="s">
        <v>79</v>
      </c>
      <c r="M1" s="5" t="s">
        <v>80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86</v>
      </c>
    </row>
    <row r="2" spans="1:21" x14ac:dyDescent="0.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tr">
        <f>LEFT(B2, FIND(" ", B2) - 1)</f>
        <v>John</v>
      </c>
      <c r="H2" s="3" t="str">
        <f>RIGHT(B2, LEN(B2) - FIND(" ", B2))</f>
        <v>Adewale</v>
      </c>
      <c r="I2" s="3" t="str">
        <f>UPPER(B2)</f>
        <v>JOHN ADEWALE</v>
      </c>
      <c r="J2" s="3" t="str">
        <f>LOWER(B2)</f>
        <v>john adewale</v>
      </c>
      <c r="K2" s="3" t="str">
        <f>PROPER(B2)</f>
        <v>John Adewale</v>
      </c>
      <c r="L2" s="3" t="str">
        <f>LEFT(C2, FIND("@",C2) - 1)</f>
        <v>john.adewale</v>
      </c>
      <c r="M2" s="3">
        <f>LEN(C2)</f>
        <v>25</v>
      </c>
      <c r="N2" s="3" t="str">
        <f>LEFT(D2, FIND("_",D2) - 1)</f>
        <v>HR</v>
      </c>
      <c r="O2" s="3" t="str">
        <f>RIGHT(D2, LEN(D2) - FIND("_",D2))</f>
        <v>001</v>
      </c>
      <c r="P2" s="3" t="str">
        <f>_xlfn.CONCAT(N2," - ",O2)</f>
        <v>HR - 001</v>
      </c>
      <c r="Q2" s="3" t="str">
        <f>SUBSTITUTE(E2, "+234-", "")</f>
        <v>803-123-4567</v>
      </c>
      <c r="R2" s="3" t="str">
        <f>SUBSTITUTE(E2, "-", "")</f>
        <v>+2348031234567</v>
      </c>
      <c r="S2" s="3" t="str">
        <f>LEFT(F2,FIND(",",F2) - 1)</f>
        <v>Lagos</v>
      </c>
      <c r="T2" s="3" t="str">
        <f>RIGHT(F2, LEN(F2) - FIND(", ", F2) - 1)</f>
        <v>Nigeria</v>
      </c>
      <c r="U2" s="3" t="str">
        <f>LEFT(F2,FIND(",",F2) - 1)</f>
        <v>Lagos</v>
      </c>
    </row>
    <row r="3" spans="1:21" x14ac:dyDescent="0.2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tr">
        <f t="shared" ref="G3:G11" si="0">LEFT(B3, FIND(" ", B3) - 1)</f>
        <v>Mary</v>
      </c>
      <c r="H3" s="3" t="str">
        <f t="shared" ref="H3:H11" si="1">RIGHT(B3, LEN(B3) - FIND(" ", B3))</f>
        <v>Johnson</v>
      </c>
      <c r="I3" s="3" t="str">
        <f t="shared" ref="I3:I11" si="2">UPPER(B3)</f>
        <v>MARY JOHNSON</v>
      </c>
      <c r="J3" s="3" t="str">
        <f t="shared" ref="J3:J11" si="3">LOWER(B3)</f>
        <v>mary johnson</v>
      </c>
      <c r="K3" s="3" t="str">
        <f t="shared" ref="K3:K11" si="4">PROPER(B3)</f>
        <v>Mary Johnson</v>
      </c>
      <c r="L3" s="3" t="str">
        <f t="shared" ref="L3:L11" si="5">LEFT(C3, FIND("@",C3) - 1)</f>
        <v>mary.johnson</v>
      </c>
      <c r="M3" s="3">
        <f t="shared" ref="M3:M11" si="6">LEN(C3)</f>
        <v>25</v>
      </c>
      <c r="N3" s="3" t="str">
        <f t="shared" ref="N3:N11" si="7">LEFT(D3, FIND("_",D3) - 1)</f>
        <v>FIN</v>
      </c>
      <c r="O3" s="3" t="str">
        <f t="shared" ref="O3:O11" si="8">RIGHT(D3, LEN(D3) - FIND("_",D3))</f>
        <v>002</v>
      </c>
      <c r="P3" s="3" t="str">
        <f t="shared" ref="P3:P11" si="9">_xlfn.CONCAT(N3," - ",O3)</f>
        <v>FIN - 002</v>
      </c>
      <c r="Q3" s="3" t="str">
        <f t="shared" ref="Q3:Q11" si="10">SUBSTITUTE(E3, "+234-", "")</f>
        <v>805-987-6543</v>
      </c>
      <c r="R3" s="3" t="str">
        <f t="shared" ref="R3:R11" si="11">SUBSTITUTE(E3, "-", "")</f>
        <v>+2348059876543</v>
      </c>
      <c r="S3" s="3" t="str">
        <f t="shared" ref="S3:S11" si="12">LEFT(F3,FIND(",",F3) - 1)</f>
        <v>Abuja</v>
      </c>
      <c r="T3" s="3" t="str">
        <f t="shared" ref="T3:T11" si="13">RIGHT(F3, LEN(F3) - FIND(", ", F3) - 1)</f>
        <v>Nigeria</v>
      </c>
      <c r="U3" s="3" t="str">
        <f t="shared" ref="U3:U11" si="14">LEFT(F3,FIND(",",F3) - 1)</f>
        <v>Abuja</v>
      </c>
    </row>
    <row r="4" spans="1:21" x14ac:dyDescent="0.2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tr">
        <f t="shared" si="0"/>
        <v>Peter</v>
      </c>
      <c r="H4" s="3" t="str">
        <f t="shared" si="1"/>
        <v>Okorie</v>
      </c>
      <c r="I4" s="3" t="str">
        <f t="shared" si="2"/>
        <v>PETER OKORIE</v>
      </c>
      <c r="J4" s="3" t="str">
        <f t="shared" si="3"/>
        <v>peter okorie</v>
      </c>
      <c r="K4" s="3" t="str">
        <f t="shared" si="4"/>
        <v>Peter Okorie</v>
      </c>
      <c r="L4" s="3" t="str">
        <f t="shared" si="5"/>
        <v>peter.okorie</v>
      </c>
      <c r="M4" s="3">
        <f t="shared" si="6"/>
        <v>25</v>
      </c>
      <c r="N4" s="3" t="str">
        <f t="shared" si="7"/>
        <v>IT</v>
      </c>
      <c r="O4" s="3" t="str">
        <f t="shared" si="8"/>
        <v>003</v>
      </c>
      <c r="P4" s="3" t="str">
        <f t="shared" si="9"/>
        <v>IT - 003</v>
      </c>
      <c r="Q4" s="3" t="str">
        <f t="shared" si="10"/>
        <v>812-456-7890</v>
      </c>
      <c r="R4" s="3" t="str">
        <f t="shared" si="11"/>
        <v>+2348124567890</v>
      </c>
      <c r="S4" s="3" t="str">
        <f t="shared" si="12"/>
        <v>Enugu</v>
      </c>
      <c r="T4" s="3" t="str">
        <f t="shared" si="13"/>
        <v>Nigeria</v>
      </c>
      <c r="U4" s="3" t="str">
        <f t="shared" si="14"/>
        <v>Enugu</v>
      </c>
    </row>
    <row r="5" spans="1:21" x14ac:dyDescent="0.2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tr">
        <f t="shared" si="0"/>
        <v>Blessing</v>
      </c>
      <c r="H5" s="3" t="str">
        <f t="shared" si="1"/>
        <v>Danjuma</v>
      </c>
      <c r="I5" s="3" t="str">
        <f t="shared" si="2"/>
        <v>BLESSING DANJUMA</v>
      </c>
      <c r="J5" s="3" t="str">
        <f t="shared" si="3"/>
        <v>blessing danjuma</v>
      </c>
      <c r="K5" s="3" t="str">
        <f t="shared" si="4"/>
        <v>Blessing Danjuma</v>
      </c>
      <c r="L5" s="3" t="str">
        <f t="shared" si="5"/>
        <v>blessing.danjuma</v>
      </c>
      <c r="M5" s="3">
        <f t="shared" si="6"/>
        <v>29</v>
      </c>
      <c r="N5" s="3" t="str">
        <f t="shared" si="7"/>
        <v>MKT</v>
      </c>
      <c r="O5" s="3" t="str">
        <f t="shared" si="8"/>
        <v>004</v>
      </c>
      <c r="P5" s="3" t="str">
        <f t="shared" si="9"/>
        <v>MKT - 004</v>
      </c>
      <c r="Q5" s="3" t="str">
        <f t="shared" si="10"/>
        <v>809-321-1122</v>
      </c>
      <c r="R5" s="3" t="str">
        <f t="shared" si="11"/>
        <v>+2348093211122</v>
      </c>
      <c r="S5" s="3" t="str">
        <f t="shared" si="12"/>
        <v>Jos</v>
      </c>
      <c r="T5" s="3" t="str">
        <f t="shared" si="13"/>
        <v>Nigeria</v>
      </c>
      <c r="U5" s="3" t="str">
        <f t="shared" si="14"/>
        <v>Jos</v>
      </c>
    </row>
    <row r="6" spans="1:21" x14ac:dyDescent="0.2">
      <c r="A6" s="3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3" t="str">
        <f t="shared" si="0"/>
        <v>David</v>
      </c>
      <c r="H6" s="3" t="str">
        <f t="shared" si="1"/>
        <v>Balogun</v>
      </c>
      <c r="I6" s="3" t="str">
        <f t="shared" si="2"/>
        <v>DAVID BALOGUN</v>
      </c>
      <c r="J6" s="3" t="str">
        <f t="shared" si="3"/>
        <v>david balogun</v>
      </c>
      <c r="K6" s="3" t="str">
        <f t="shared" si="4"/>
        <v>David Balogun</v>
      </c>
      <c r="L6" s="3" t="str">
        <f t="shared" si="5"/>
        <v>david.balogun</v>
      </c>
      <c r="M6" s="3">
        <f t="shared" si="6"/>
        <v>26</v>
      </c>
      <c r="N6" s="3" t="str">
        <f t="shared" si="7"/>
        <v>OPS</v>
      </c>
      <c r="O6" s="3" t="str">
        <f t="shared" si="8"/>
        <v>005</v>
      </c>
      <c r="P6" s="3" t="str">
        <f t="shared" si="9"/>
        <v>OPS - 005</v>
      </c>
      <c r="Q6" s="3" t="str">
        <f t="shared" si="10"/>
        <v>807-555-8899</v>
      </c>
      <c r="R6" s="3" t="str">
        <f t="shared" si="11"/>
        <v>+2348075558899</v>
      </c>
      <c r="S6" s="3" t="str">
        <f t="shared" si="12"/>
        <v>Ibadan</v>
      </c>
      <c r="T6" s="3" t="str">
        <f t="shared" si="13"/>
        <v>Nigeria</v>
      </c>
      <c r="U6" s="3" t="str">
        <f t="shared" si="14"/>
        <v>Ibadan</v>
      </c>
    </row>
    <row r="7" spans="1:21" x14ac:dyDescent="0.2">
      <c r="A7" s="3" t="s">
        <v>36</v>
      </c>
      <c r="B7" s="3" t="s">
        <v>37</v>
      </c>
      <c r="C7" s="3" t="s">
        <v>38</v>
      </c>
      <c r="D7" s="3" t="s">
        <v>9</v>
      </c>
      <c r="E7" s="3" t="s">
        <v>39</v>
      </c>
      <c r="F7" s="3" t="s">
        <v>40</v>
      </c>
      <c r="G7" s="3" t="str">
        <f t="shared" si="0"/>
        <v>Aisha</v>
      </c>
      <c r="H7" s="3" t="str">
        <f t="shared" si="1"/>
        <v>Bello</v>
      </c>
      <c r="I7" s="3" t="str">
        <f t="shared" si="2"/>
        <v>AISHA BELLO</v>
      </c>
      <c r="J7" s="3" t="str">
        <f t="shared" si="3"/>
        <v>aisha bello</v>
      </c>
      <c r="K7" s="3" t="str">
        <f t="shared" si="4"/>
        <v>Aisha Bello</v>
      </c>
      <c r="L7" s="3" t="str">
        <f t="shared" si="5"/>
        <v>aisha.bello</v>
      </c>
      <c r="M7" s="3">
        <f t="shared" si="6"/>
        <v>24</v>
      </c>
      <c r="N7" s="3" t="str">
        <f t="shared" si="7"/>
        <v>HR</v>
      </c>
      <c r="O7" s="3" t="str">
        <f t="shared" si="8"/>
        <v>001</v>
      </c>
      <c r="P7" s="3" t="str">
        <f t="shared" si="9"/>
        <v>HR - 001</v>
      </c>
      <c r="Q7" s="3" t="str">
        <f t="shared" si="10"/>
        <v>806-444-2211</v>
      </c>
      <c r="R7" s="3" t="str">
        <f t="shared" si="11"/>
        <v>+2348064442211</v>
      </c>
      <c r="S7" s="3" t="str">
        <f t="shared" si="12"/>
        <v>Ilorin</v>
      </c>
      <c r="T7" s="3" t="str">
        <f t="shared" si="13"/>
        <v>Nigeria</v>
      </c>
      <c r="U7" s="3" t="str">
        <f t="shared" si="14"/>
        <v>Ilorin</v>
      </c>
    </row>
    <row r="8" spans="1:21" x14ac:dyDescent="0.2">
      <c r="A8" s="3" t="s">
        <v>41</v>
      </c>
      <c r="B8" s="3" t="s">
        <v>42</v>
      </c>
      <c r="C8" s="3" t="s">
        <v>43</v>
      </c>
      <c r="D8" s="3" t="s">
        <v>21</v>
      </c>
      <c r="E8" s="3" t="s">
        <v>44</v>
      </c>
      <c r="F8" s="3" t="s">
        <v>45</v>
      </c>
      <c r="G8" s="3" t="str">
        <f t="shared" si="0"/>
        <v>Samuel</v>
      </c>
      <c r="H8" s="3" t="str">
        <f t="shared" si="1"/>
        <v>Obi</v>
      </c>
      <c r="I8" s="3" t="str">
        <f t="shared" si="2"/>
        <v>SAMUEL OBI</v>
      </c>
      <c r="J8" s="3" t="str">
        <f t="shared" si="3"/>
        <v>samuel obi</v>
      </c>
      <c r="K8" s="3" t="str">
        <f t="shared" si="4"/>
        <v>Samuel Obi</v>
      </c>
      <c r="L8" s="3" t="str">
        <f t="shared" si="5"/>
        <v>samuel.obi</v>
      </c>
      <c r="M8" s="3">
        <f t="shared" si="6"/>
        <v>23</v>
      </c>
      <c r="N8" s="3" t="str">
        <f t="shared" si="7"/>
        <v>IT</v>
      </c>
      <c r="O8" s="3" t="str">
        <f t="shared" si="8"/>
        <v>003</v>
      </c>
      <c r="P8" s="3" t="str">
        <f t="shared" si="9"/>
        <v>IT - 003</v>
      </c>
      <c r="Q8" s="3" t="str">
        <f t="shared" si="10"/>
        <v>810-777-3344</v>
      </c>
      <c r="R8" s="3" t="str">
        <f t="shared" si="11"/>
        <v>+2348107773344</v>
      </c>
      <c r="S8" s="3" t="str">
        <f t="shared" si="12"/>
        <v>Asaba</v>
      </c>
      <c r="T8" s="3" t="str">
        <f t="shared" si="13"/>
        <v>Nigeria</v>
      </c>
      <c r="U8" s="3" t="str">
        <f t="shared" si="14"/>
        <v>Asaba</v>
      </c>
    </row>
    <row r="9" spans="1:21" x14ac:dyDescent="0.2">
      <c r="A9" s="3" t="s">
        <v>46</v>
      </c>
      <c r="B9" s="3" t="s">
        <v>47</v>
      </c>
      <c r="C9" s="3" t="s">
        <v>48</v>
      </c>
      <c r="D9" s="3" t="s">
        <v>15</v>
      </c>
      <c r="E9" s="3" t="s">
        <v>49</v>
      </c>
      <c r="F9" s="3" t="s">
        <v>50</v>
      </c>
      <c r="G9" s="3" t="str">
        <f t="shared" si="0"/>
        <v>Ruth</v>
      </c>
      <c r="H9" s="3" t="str">
        <f t="shared" si="1"/>
        <v>Martins</v>
      </c>
      <c r="I9" s="3" t="str">
        <f t="shared" si="2"/>
        <v>RUTH MARTINS</v>
      </c>
      <c r="J9" s="3" t="str">
        <f t="shared" si="3"/>
        <v>ruth martins</v>
      </c>
      <c r="K9" s="3" t="str">
        <f t="shared" si="4"/>
        <v>Ruth Martins</v>
      </c>
      <c r="L9" s="3" t="str">
        <f t="shared" si="5"/>
        <v>ruth.martins</v>
      </c>
      <c r="M9" s="3">
        <f t="shared" si="6"/>
        <v>25</v>
      </c>
      <c r="N9" s="3" t="str">
        <f t="shared" si="7"/>
        <v>FIN</v>
      </c>
      <c r="O9" s="3" t="str">
        <f t="shared" si="8"/>
        <v>002</v>
      </c>
      <c r="P9" s="3" t="str">
        <f t="shared" si="9"/>
        <v>FIN - 002</v>
      </c>
      <c r="Q9" s="3" t="str">
        <f t="shared" si="10"/>
        <v>814-222-6655</v>
      </c>
      <c r="R9" s="3" t="str">
        <f t="shared" si="11"/>
        <v>+2348142226655</v>
      </c>
      <c r="S9" s="3" t="str">
        <f t="shared" si="12"/>
        <v>Benin</v>
      </c>
      <c r="T9" s="3" t="str">
        <f t="shared" si="13"/>
        <v>Nigeria</v>
      </c>
      <c r="U9" s="3" t="str">
        <f t="shared" si="14"/>
        <v>Benin</v>
      </c>
    </row>
    <row r="10" spans="1:21" x14ac:dyDescent="0.2">
      <c r="A10" s="3" t="s">
        <v>51</v>
      </c>
      <c r="B10" s="3" t="s">
        <v>52</v>
      </c>
      <c r="C10" s="3" t="s">
        <v>53</v>
      </c>
      <c r="D10" s="3" t="s">
        <v>33</v>
      </c>
      <c r="E10" s="3" t="s">
        <v>54</v>
      </c>
      <c r="F10" s="3" t="s">
        <v>55</v>
      </c>
      <c r="G10" s="3" t="str">
        <f t="shared" si="0"/>
        <v>Daniel</v>
      </c>
      <c r="H10" s="3" t="str">
        <f t="shared" si="1"/>
        <v>Ahmed</v>
      </c>
      <c r="I10" s="3" t="str">
        <f t="shared" si="2"/>
        <v>DANIEL AHMED</v>
      </c>
      <c r="J10" s="3" t="str">
        <f t="shared" si="3"/>
        <v>daniel ahmed</v>
      </c>
      <c r="K10" s="3" t="str">
        <f t="shared" si="4"/>
        <v>Daniel Ahmed</v>
      </c>
      <c r="L10" s="3" t="str">
        <f t="shared" si="5"/>
        <v>daniel.ahmed</v>
      </c>
      <c r="M10" s="3">
        <f t="shared" si="6"/>
        <v>25</v>
      </c>
      <c r="N10" s="3" t="str">
        <f t="shared" si="7"/>
        <v>OPS</v>
      </c>
      <c r="O10" s="3" t="str">
        <f t="shared" si="8"/>
        <v>005</v>
      </c>
      <c r="P10" s="3" t="str">
        <f t="shared" si="9"/>
        <v>OPS - 005</v>
      </c>
      <c r="Q10" s="3" t="str">
        <f t="shared" si="10"/>
        <v>815-999-1100</v>
      </c>
      <c r="R10" s="3" t="str">
        <f t="shared" si="11"/>
        <v>+2348159991100</v>
      </c>
      <c r="S10" s="3" t="str">
        <f t="shared" si="12"/>
        <v>Minna</v>
      </c>
      <c r="T10" s="3" t="str">
        <f t="shared" si="13"/>
        <v>Nigeria</v>
      </c>
      <c r="U10" s="3" t="str">
        <f t="shared" si="14"/>
        <v>Minna</v>
      </c>
    </row>
    <row r="11" spans="1:21" x14ac:dyDescent="0.2">
      <c r="A11" s="3" t="s">
        <v>56</v>
      </c>
      <c r="B11" s="3" t="s">
        <v>57</v>
      </c>
      <c r="C11" s="3" t="s">
        <v>58</v>
      </c>
      <c r="D11" s="3" t="s">
        <v>27</v>
      </c>
      <c r="E11" s="3" t="s">
        <v>59</v>
      </c>
      <c r="F11" s="3" t="s">
        <v>60</v>
      </c>
      <c r="G11" s="3" t="str">
        <f t="shared" si="0"/>
        <v>Esther</v>
      </c>
      <c r="H11" s="3" t="str">
        <f t="shared" si="1"/>
        <v>Lawal</v>
      </c>
      <c r="I11" s="3" t="str">
        <f t="shared" si="2"/>
        <v>ESTHER LAWAL</v>
      </c>
      <c r="J11" s="3" t="str">
        <f t="shared" si="3"/>
        <v>esther lawal</v>
      </c>
      <c r="K11" s="3" t="str">
        <f t="shared" si="4"/>
        <v>Esther Lawal</v>
      </c>
      <c r="L11" s="3" t="str">
        <f t="shared" si="5"/>
        <v>esther.lawal</v>
      </c>
      <c r="M11" s="3">
        <f t="shared" si="6"/>
        <v>25</v>
      </c>
      <c r="N11" s="3" t="str">
        <f t="shared" si="7"/>
        <v>MKT</v>
      </c>
      <c r="O11" s="3" t="str">
        <f t="shared" si="8"/>
        <v>004</v>
      </c>
      <c r="P11" s="3" t="str">
        <f t="shared" si="9"/>
        <v>MKT - 004</v>
      </c>
      <c r="Q11" s="3" t="str">
        <f t="shared" si="10"/>
        <v>811-333-7788</v>
      </c>
      <c r="R11" s="3" t="str">
        <f t="shared" si="11"/>
        <v>+2348113337788</v>
      </c>
      <c r="S11" s="3" t="str">
        <f t="shared" si="12"/>
        <v>Abeokuta</v>
      </c>
      <c r="T11" s="3" t="str">
        <f t="shared" si="13"/>
        <v>Nigeria</v>
      </c>
      <c r="U11" s="3" t="str">
        <f t="shared" si="14"/>
        <v>Abeokuta</v>
      </c>
    </row>
    <row r="12" spans="1:2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9" spans="1:6" ht="24" x14ac:dyDescent="0.3">
      <c r="A19" s="1"/>
      <c r="B19" s="1"/>
      <c r="C19" s="1"/>
    </row>
    <row r="20" spans="1:6" ht="24" x14ac:dyDescent="0.3">
      <c r="A20" s="1"/>
      <c r="B20" s="1"/>
      <c r="C20" s="1"/>
    </row>
    <row r="21" spans="1:6" ht="24" x14ac:dyDescent="0.3">
      <c r="A21" s="1"/>
      <c r="B21" s="1"/>
      <c r="C21" s="1"/>
      <c r="D21" s="2"/>
      <c r="E21" s="2"/>
    </row>
    <row r="22" spans="1:6" ht="24" x14ac:dyDescent="0.3">
      <c r="A22" s="1"/>
      <c r="B22" s="1"/>
      <c r="C22" s="1"/>
      <c r="D22" s="2"/>
    </row>
    <row r="23" spans="1:6" ht="24" x14ac:dyDescent="0.3">
      <c r="A23" s="1"/>
      <c r="B23" s="1"/>
      <c r="C23" s="1"/>
      <c r="D23" s="2"/>
      <c r="E23" s="2"/>
    </row>
    <row r="24" spans="1:6" ht="24" x14ac:dyDescent="0.3">
      <c r="A24" s="1"/>
      <c r="B24" s="1"/>
      <c r="C24" s="1"/>
    </row>
    <row r="25" spans="1:6" ht="24" x14ac:dyDescent="0.3">
      <c r="A25" s="1"/>
      <c r="B25" s="1"/>
      <c r="C25" s="1"/>
      <c r="D25" s="2"/>
      <c r="E25" s="2"/>
      <c r="F25" s="2"/>
    </row>
    <row r="26" spans="1:6" ht="24" x14ac:dyDescent="0.3">
      <c r="A26" s="1"/>
      <c r="B26" s="1"/>
      <c r="C26" s="1"/>
      <c r="D26" s="2"/>
    </row>
    <row r="27" spans="1:6" ht="24" x14ac:dyDescent="0.3">
      <c r="A27" s="1"/>
      <c r="B27" s="1"/>
      <c r="C27" s="1"/>
    </row>
    <row r="28" spans="1:6" ht="24" x14ac:dyDescent="0.3">
      <c r="A28" s="1"/>
      <c r="B28" s="1"/>
      <c r="C28" s="1"/>
      <c r="D28" s="2"/>
      <c r="E28" s="2"/>
    </row>
    <row r="29" spans="1:6" ht="24" x14ac:dyDescent="0.3">
      <c r="A29" s="1"/>
      <c r="B29" s="1"/>
      <c r="C29" s="1"/>
    </row>
    <row r="30" spans="1:6" ht="24" x14ac:dyDescent="0.3">
      <c r="A30" s="1"/>
      <c r="B30" s="1"/>
      <c r="C30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>
      <selection sqref="A1:A12"/>
    </sheetView>
  </sheetViews>
  <sheetFormatPr baseColWidth="10" defaultColWidth="9" defaultRowHeight="15" x14ac:dyDescent="0.2"/>
  <cols>
    <col min="1" max="1" width="70.1640625" customWidth="1"/>
  </cols>
  <sheetData>
    <row r="1" spans="1:1" x14ac:dyDescent="0.2">
      <c r="A1" t="s">
        <v>61</v>
      </c>
    </row>
    <row r="2" spans="1:1" x14ac:dyDescent="0.2">
      <c r="A2" t="s">
        <v>62</v>
      </c>
    </row>
    <row r="3" spans="1:1" x14ac:dyDescent="0.2">
      <c r="A3" t="s">
        <v>63</v>
      </c>
    </row>
    <row r="4" spans="1:1" x14ac:dyDescent="0.2">
      <c r="A4" t="s">
        <v>64</v>
      </c>
    </row>
    <row r="5" spans="1:1" x14ac:dyDescent="0.2">
      <c r="A5" t="s">
        <v>65</v>
      </c>
    </row>
    <row r="6" spans="1:1" x14ac:dyDescent="0.2">
      <c r="A6" t="s">
        <v>66</v>
      </c>
    </row>
    <row r="7" spans="1:1" x14ac:dyDescent="0.2">
      <c r="A7" t="s">
        <v>67</v>
      </c>
    </row>
    <row r="8" spans="1:1" x14ac:dyDescent="0.2">
      <c r="A8" t="s">
        <v>68</v>
      </c>
    </row>
    <row r="9" spans="1:1" x14ac:dyDescent="0.2">
      <c r="A9" t="s">
        <v>69</v>
      </c>
    </row>
    <row r="10" spans="1:1" x14ac:dyDescent="0.2">
      <c r="A10" t="s">
        <v>70</v>
      </c>
    </row>
    <row r="11" spans="1:1" x14ac:dyDescent="0.2">
      <c r="A11" t="s">
        <v>71</v>
      </c>
    </row>
    <row r="12" spans="1:1" x14ac:dyDescent="0.2">
      <c r="A12" t="s">
        <v>72</v>
      </c>
    </row>
    <row r="14" spans="1:1" x14ac:dyDescent="0.2">
      <c r="A14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Niaz, Shaheen</cp:lastModifiedBy>
  <dcterms:created xsi:type="dcterms:W3CDTF">2026-02-01T21:54:00Z</dcterms:created>
  <dcterms:modified xsi:type="dcterms:W3CDTF">2026-02-06T20:48:53Z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30B8C1826774E3BB9BBE7F690BB357DE_42</vt:lpwstr>
  </property>
  <property fmtid="{D5CDD505-2E9C-101B-9397-08002B2CF9AE}" pid="3" name="KSOProductBuildVer">
    <vt:lpwstr>1033-12.1.22533.22533</vt:lpwstr>
  </property>
</Properties>
</file>